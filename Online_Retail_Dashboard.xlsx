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JAL A M\Downloads\"/>
    </mc:Choice>
  </mc:AlternateContent>
  <xr:revisionPtr revIDLastSave="0" documentId="13_ncr:1_{6E4EFCAF-5DA1-4075-B056-09D1AE00C5F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Executive Summary" sheetId="1" r:id="rId1"/>
    <sheet name="Monthly Revenue" sheetId="2" r:id="rId2"/>
    <sheet name="Top Products" sheetId="3" r:id="rId3"/>
    <sheet name="Country Analysis" sheetId="4" r:id="rId4"/>
    <sheet name="Visual 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2" l="1"/>
  <c r="B16" i="2"/>
</calcChain>
</file>

<file path=xl/sharedStrings.xml><?xml version="1.0" encoding="utf-8"?>
<sst xmlns="http://schemas.openxmlformats.org/spreadsheetml/2006/main" count="95" uniqueCount="92">
  <si>
    <t>ONLINE RETAIL – SALES PERFORMANCE REPORT</t>
  </si>
  <si>
    <t>Dec 2010 – Dec 2011  |  UK &amp; International  |  Prepared by Analytics Team</t>
  </si>
  <si>
    <t>KEY PERFORMANCE INDICATORS</t>
  </si>
  <si>
    <t>KPI</t>
  </si>
  <si>
    <t>Value</t>
  </si>
  <si>
    <t>Context</t>
  </si>
  <si>
    <t>Total Revenue</t>
  </si>
  <si>
    <t>£8,911,408</t>
  </si>
  <si>
    <t>12 months of active trading</t>
  </si>
  <si>
    <t>Total Orders</t>
  </si>
  <si>
    <t>18,532</t>
  </si>
  <si>
    <t>Avg 1,426 orders/month</t>
  </si>
  <si>
    <t>Unique Customers</t>
  </si>
  <si>
    <t>4,338</t>
  </si>
  <si>
    <t>37 countries served worldwide</t>
  </si>
  <si>
    <t>Avg Order Value (AOV)</t>
  </si>
  <si>
    <t>£480.87</t>
  </si>
  <si>
    <t>Opportunity to push past £550 with bundles</t>
  </si>
  <si>
    <t>Revenue per Customer</t>
  </si>
  <si>
    <t>£2,054</t>
  </si>
  <si>
    <t>Strong lifetime value signal</t>
  </si>
  <si>
    <t>Top Country (UK)</t>
  </si>
  <si>
    <t>82% of Revenue</t>
  </si>
  <si>
    <t>Netherlands &amp; EIRE lead international</t>
  </si>
  <si>
    <t>Peak Month</t>
  </si>
  <si>
    <t>November 2011</t>
  </si>
  <si>
    <t>£1.16M — 103% above Jan baseline</t>
  </si>
  <si>
    <t>YoY Growth (Q4 trend)</t>
  </si>
  <si>
    <t>+94% Sep→Nov</t>
  </si>
  <si>
    <t>Seasonal surge; plan inventory early</t>
  </si>
  <si>
    <t>MONTHLY REVENUE &amp; ORDER TRENDS</t>
  </si>
  <si>
    <t>Month</t>
  </si>
  <si>
    <t>Revenue (£)</t>
  </si>
  <si>
    <t>Orders</t>
  </si>
  <si>
    <t>Active Customers</t>
  </si>
  <si>
    <t>MoM Growth (%)</t>
  </si>
  <si>
    <t>Cumulative Rev (£)</t>
  </si>
  <si>
    <t>2010-12</t>
  </si>
  <si>
    <t>–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</si>
  <si>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</si>
  <si>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</si>
  <si>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</si>
  <si>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</si>
  <si>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</si>
  <si>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</si>
  <si>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</si>
  <si>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</si>
  <si>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</si>
  <si>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</si>
  <si>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</si>
  <si>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</si>
  <si>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TOTAL</t>
  </si>
  <si>
    <t>TOP PRODUCTS BY REVENUE</t>
  </si>
  <si>
    <t>Rank</t>
  </si>
  <si>
    <t>Product Description</t>
  </si>
  <si>
    <t>Units Sold</t>
  </si>
  <si>
    <t>Avg Unit Price (£)</t>
  </si>
  <si>
    <t>PAPER CRAFT , LITTLE BIRDIE</t>
  </si>
  <si>
    <t>REGENCY CAKESTAND 3 TIER</t>
  </si>
  <si>
    <t>WHITE HANGING HEART T-LIGHT HOLDER</t>
  </si>
  <si>
    <t>JUMBO BAG RED RETROSPOT</t>
  </si>
  <si>
    <t>MEDIUM CERAMIC TOP STORAGE JAR</t>
  </si>
  <si>
    <t>POSTAGE</t>
  </si>
  <si>
    <t>PARTY BUNTING</t>
  </si>
  <si>
    <t>ASSORTED COLOUR BIRD ORNAMENT</t>
  </si>
  <si>
    <t>Manual</t>
  </si>
  <si>
    <t>RABBIT NIGHT LIGHT</t>
  </si>
  <si>
    <t>REVENUE BY COUNTRY</t>
  </si>
  <si>
    <t>Country</t>
  </si>
  <si>
    <t>Customers</t>
  </si>
  <si>
    <t>Avg Order Value (£)</t>
  </si>
  <si>
    <t>United Kingdom</t>
  </si>
  <si>
    <t>Netherlands</t>
  </si>
  <si>
    <t>EIRE</t>
  </si>
  <si>
    <t>Germany</t>
  </si>
  <si>
    <t>France</t>
  </si>
  <si>
    <t>Australia</t>
  </si>
  <si>
    <t>Spain</t>
  </si>
  <si>
    <t>Switzerland</t>
  </si>
  <si>
    <t>Belgium</t>
  </si>
  <si>
    <t>Sweden</t>
  </si>
  <si>
    <t>Japan</t>
  </si>
  <si>
    <t>Norway</t>
  </si>
  <si>
    <t>Portugal</t>
  </si>
  <si>
    <t>Finland</t>
  </si>
  <si>
    <t>Singapore</t>
  </si>
  <si>
    <t>Channel Islands</t>
  </si>
  <si>
    <t>Denmark</t>
  </si>
  <si>
    <t>Italy</t>
  </si>
  <si>
    <t>Cyprus</t>
  </si>
  <si>
    <t>Austria</t>
  </si>
  <si>
    <t>VISUAL DASHBOARD – Online Retail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</si>
</sst>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#,##0"/>
    <numFmt numFmtId="165" formatCode="0.0&quot;%&quot;"/>
  </numFmts>
  <fonts count="13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sz val="10"/>
      <color rgb="FFD6E4F0"/>
      <name val="Arial"/>
    </font>
    <font>
      <b/>
      <sz val="11"/>
      <color rgb="FFFFFFFF"/>
      <name val="Arial"/>
    </font>
    <font>
      <b/>
      <sz val="10"/>
      <color rgb="FF1B4F72"/>
      <name val="Arial"/>
    </font>
    <font>
      <b/>
      <sz val="11"/>
      <color rgb="FF27AE60"/>
      <name val="Arial"/>
    </font>
    <font>
      <sz val="9"/>
      <color rgb="FF555555"/>
      <name val="Arial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color rgb="FFE74C3C"/>
      <name val="Arial"/>
    </font>
    <font>
      <sz val="10"/>
      <color rgb="FF27AE60"/>
      <name val="Arial"/>
    </font>
  </fonts>
  <fills count="8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2980B9"/>
      </patternFill>
    </fill>
    <fill>
      <patternFill patternType="solid">
        <fgColor rgb="FFD6E4F0"/>
      </patternFill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rgb="FFE74C3C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8" fillId="3" borderId="0" xfId="0" applyFont="1" applyFill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  <xf numFmtId="164" fontId="10" fillId="6" borderId="1" xfId="0" applyNumberFormat="1" applyFont="1" applyFill="1" applyBorder="1" applyAlignment="1">
      <alignment horizontal="right"/>
    </xf>
    <xf numFmtId="3" fontId="10" fillId="6" borderId="1" xfId="0" applyNumberFormat="1" applyFont="1" applyFill="1" applyBorder="1" applyAlignment="1">
      <alignment horizontal="right"/>
    </xf>
    <xf numFmtId="165" fontId="11" fillId="6" borderId="1" xfId="0" applyNumberFormat="1" applyFont="1" applyFill="1" applyBorder="1" applyAlignment="1">
      <alignment horizontal="right"/>
    </xf>
    <xf numFmtId="0" fontId="9" fillId="5" borderId="1" xfId="0" applyFont="1" applyFill="1" applyBorder="1" applyAlignment="1">
      <alignment horizontal="center"/>
    </xf>
    <xf numFmtId="164" fontId="10" fillId="5" borderId="1" xfId="0" applyNumberFormat="1" applyFont="1" applyFill="1" applyBorder="1" applyAlignment="1">
      <alignment horizontal="right"/>
    </xf>
    <xf numFmtId="3" fontId="10" fillId="5" borderId="1" xfId="0" applyNumberFormat="1" applyFont="1" applyFill="1" applyBorder="1" applyAlignment="1">
      <alignment horizontal="right"/>
    </xf>
    <xf numFmtId="165" fontId="11" fillId="5" borderId="1" xfId="0" applyNumberFormat="1" applyFont="1" applyFill="1" applyBorder="1" applyAlignment="1">
      <alignment horizontal="right"/>
    </xf>
    <xf numFmtId="165" fontId="12" fillId="5" borderId="1" xfId="0" applyNumberFormat="1" applyFont="1" applyFill="1" applyBorder="1" applyAlignment="1">
      <alignment horizontal="right"/>
    </xf>
    <xf numFmtId="165" fontId="12" fillId="6" borderId="1" xfId="0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3" fontId="8" fillId="2" borderId="0" xfId="0" applyNumberFormat="1" applyFont="1" applyFill="1" applyAlignment="1">
      <alignment horizontal="right"/>
    </xf>
    <xf numFmtId="0" fontId="8" fillId="7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0" xfId="0"/>
    <xf numFmtId="0" fontId="4" fillId="6" borderId="1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Revenue'!$B$2</c:f>
              <c:strCache>
                <c:ptCount val="1"/>
                <c:pt idx="0">
                  <c:v>Revenue (£)</c:v>
                </c:pt>
              </c:strCache>
            </c:strRef>
          </c:tx>
          <c:spPr>
            <a:ln w="20000">
              <a:solidFill>
                <a:srgbClr val="2980B9"/>
              </a:solidFill>
              <a:prstDash val="solid"/>
            </a:ln>
          </c:spPr>
          <c:marker>
            <c:symbol val="none"/>
          </c:marker>
          <c:cat>
            <c:strRef>
              <c:f>'Monthly Revenue'!$A$3:$A$15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'Monthly Revenue'!$B$3:$B$15</c:f>
              <c:numCache>
                <c:formatCode>\£#,##0</c:formatCode>
                <c:ptCount val="13"/>
                <c:pt idx="0">
                  <c:v>572713.89</c:v>
                </c:pt>
                <c:pt idx="1">
                  <c:v>569445.04</c:v>
                </c:pt>
                <c:pt idx="2">
                  <c:v>447137.35</c:v>
                </c:pt>
                <c:pt idx="3">
                  <c:v>595500.76</c:v>
                </c:pt>
                <c:pt idx="4">
                  <c:v>469200.36099999998</c:v>
                </c:pt>
                <c:pt idx="5">
                  <c:v>678594.56000000006</c:v>
                </c:pt>
                <c:pt idx="6">
                  <c:v>661213.69000000006</c:v>
                </c:pt>
                <c:pt idx="7">
                  <c:v>600091.01100000006</c:v>
                </c:pt>
                <c:pt idx="8">
                  <c:v>645343.9</c:v>
                </c:pt>
                <c:pt idx="9">
                  <c:v>952838.38199999998</c:v>
                </c:pt>
                <c:pt idx="10">
                  <c:v>1039318.79</c:v>
                </c:pt>
                <c:pt idx="11">
                  <c:v>1161817.3799999999</c:v>
                </c:pt>
                <c:pt idx="12">
                  <c:v>518192.79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44-4BEF-AD20-FFE568130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(£)</a:t>
                </a:r>
              </a:p>
            </c:rich>
          </c:tx>
          <c:overlay val="1"/>
        </c:title>
        <c:numFmt formatCode="\£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Top 10 Products – Revenue (£)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'Top Products'!$C$2</c:f>
              <c:strCache>
                <c:ptCount val="1"/>
                <c:pt idx="0">
                  <c:v>Revenue (£)</c:v>
                </c:pt>
              </c:strCache>
            </c:strRef>
          </c:tx>
          <c:spPr>
            <a:solidFill>
              <a:srgbClr val="2980B9"/>
            </a:solidFill>
            <a:ln>
              <a:prstDash val="solid"/>
            </a:ln>
          </c:spPr>
          <c:invertIfNegative val="1"/>
          <c:cat>
            <c:strRef>
              <c:f>'Top Products'!$B$3:$B$12</c:f>
              <c:strCache>
                <c:ptCount val="10"/>
                <c:pt idx="0">
                  <c:v>PAPER CRAFT , LITTLE BIRDIE</c:v>
                </c:pt>
                <c:pt idx="1">
                  <c:v>REGENCY CAKESTAND 3 TIER</c:v>
                </c:pt>
                <c:pt idx="2">
                  <c:v>WHITE HANGING HEART T-LIGHT HOLDER</c:v>
                </c:pt>
                <c:pt idx="3">
                  <c:v>JUMBO BAG RED RETROSPOT</c:v>
                </c:pt>
                <c:pt idx="4">
                  <c:v>MEDIUM CERAMIC TOP STORAGE JAR</c:v>
                </c:pt>
                <c:pt idx="5">
                  <c:v>POSTAGE</c:v>
                </c:pt>
                <c:pt idx="6">
                  <c:v>PARTY BUNTING</c:v>
                </c:pt>
                <c:pt idx="7">
                  <c:v>ASSORTED COLOUR BIRD ORNAMENT</c:v>
                </c:pt>
                <c:pt idx="8">
                  <c:v>Manual</c:v>
                </c:pt>
                <c:pt idx="9">
                  <c:v>RABBIT NIGHT LIGHT</c:v>
                </c:pt>
              </c:strCache>
            </c:strRef>
          </c:cat>
          <c:val>
            <c:numRef>
              <c:f>'Top Products'!$C$3:$C$12</c:f>
              <c:numCache>
                <c:formatCode>\£#,##0</c:formatCode>
                <c:ptCount val="10"/>
                <c:pt idx="0">
                  <c:v>168469.6</c:v>
                </c:pt>
                <c:pt idx="1">
                  <c:v>142592.95000000001</c:v>
                </c:pt>
                <c:pt idx="2">
                  <c:v>100448.15</c:v>
                </c:pt>
                <c:pt idx="3">
                  <c:v>85220.78</c:v>
                </c:pt>
                <c:pt idx="4">
                  <c:v>81416.73000000001</c:v>
                </c:pt>
                <c:pt idx="5">
                  <c:v>77803.960000000006</c:v>
                </c:pt>
                <c:pt idx="6">
                  <c:v>68844.33</c:v>
                </c:pt>
                <c:pt idx="7">
                  <c:v>56580.34</c:v>
                </c:pt>
                <c:pt idx="8">
                  <c:v>53779.93</c:v>
                </c:pt>
                <c:pt idx="9">
                  <c:v>51346.2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A2B-43A1-A297-59AECD24D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£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Revenue Share by Country (Top 10)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'Country Analysis'!$B$2</c:f>
              <c:strCache>
                <c:ptCount val="1"/>
                <c:pt idx="0">
                  <c:v>Revenue (£)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'Country Analysis'!$A$3:$A$12</c:f>
              <c:strCache>
                <c:ptCount val="10"/>
                <c:pt idx="0">
                  <c:v>United Kingdom</c:v>
                </c:pt>
                <c:pt idx="1">
                  <c:v>Netherlands</c:v>
                </c:pt>
                <c:pt idx="2">
                  <c:v>EIRE</c:v>
                </c:pt>
                <c:pt idx="3">
                  <c:v>Germany</c:v>
                </c:pt>
                <c:pt idx="4">
                  <c:v>France</c:v>
                </c:pt>
                <c:pt idx="5">
                  <c:v>Australia</c:v>
                </c:pt>
                <c:pt idx="6">
                  <c:v>Spain</c:v>
                </c:pt>
                <c:pt idx="7">
                  <c:v>Switzerland</c:v>
                </c:pt>
                <c:pt idx="8">
                  <c:v>Belgium</c:v>
                </c:pt>
                <c:pt idx="9">
                  <c:v>Sweden</c:v>
                </c:pt>
              </c:strCache>
            </c:strRef>
          </c:cat>
          <c:val>
            <c:numRef>
              <c:f>'Country Analysis'!$B$3:$B$12</c:f>
              <c:numCache>
                <c:formatCode>\£#,##0</c:formatCode>
                <c:ptCount val="10"/>
                <c:pt idx="0">
                  <c:v>7308391.5539999995</c:v>
                </c:pt>
                <c:pt idx="1">
                  <c:v>285446.34000000003</c:v>
                </c:pt>
                <c:pt idx="2">
                  <c:v>265545.90000000002</c:v>
                </c:pt>
                <c:pt idx="3">
                  <c:v>228867.14</c:v>
                </c:pt>
                <c:pt idx="4">
                  <c:v>209024.05</c:v>
                </c:pt>
                <c:pt idx="5">
                  <c:v>138521.31</c:v>
                </c:pt>
                <c:pt idx="6">
                  <c:v>61577.11</c:v>
                </c:pt>
                <c:pt idx="7">
                  <c:v>56443.95</c:v>
                </c:pt>
                <c:pt idx="8">
                  <c:v>41196.339999999997</c:v>
                </c:pt>
                <c:pt idx="9">
                  <c:v>38378.33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E-4145-9969-B58728E20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4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4004250" cy="394906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4F72"/>
  </sheetPr>
  <dimension ref="A1:H21"/>
  <sheetViews>
    <sheetView showGridLines="0" workbookViewId="0">
      <selection activeCell="K20" sqref="K20"/>
    </sheetView>
  </sheetViews>
  <sheetFormatPr defaultRowHeight="14.4" x14ac:dyDescent="0.3"/>
  <cols>
    <col min="1" max="1" width="20" customWidth="1"/>
    <col min="2" max="2" width="15" customWidth="1"/>
    <col min="3" max="4" width="12" customWidth="1"/>
    <col min="5" max="8" width="18" customWidth="1"/>
  </cols>
  <sheetData>
    <row r="1" spans="1:8" ht="40.049999999999997" customHeight="1" x14ac:dyDescent="0.3">
      <c r="A1" s="26" t="s">
        <v>0</v>
      </c>
      <c r="B1" s="22"/>
      <c r="C1" s="22"/>
      <c r="D1" s="22"/>
      <c r="E1" s="22"/>
      <c r="F1" s="22"/>
      <c r="G1" s="22"/>
      <c r="H1" s="22"/>
    </row>
    <row r="2" spans="1:8" ht="19.95" customHeight="1" x14ac:dyDescent="0.3">
      <c r="A2" s="30" t="s">
        <v>1</v>
      </c>
      <c r="B2" s="22"/>
      <c r="C2" s="22"/>
      <c r="D2" s="22"/>
      <c r="E2" s="22"/>
      <c r="F2" s="22"/>
      <c r="G2" s="22"/>
      <c r="H2" s="22"/>
    </row>
    <row r="3" spans="1:8" ht="15" customHeight="1" x14ac:dyDescent="0.3"/>
    <row r="4" spans="1:8" ht="25.05" customHeight="1" x14ac:dyDescent="0.3">
      <c r="A4" s="31" t="s">
        <v>2</v>
      </c>
      <c r="B4" s="22"/>
      <c r="C4" s="22"/>
      <c r="D4" s="22"/>
      <c r="E4" s="22"/>
      <c r="F4" s="22"/>
      <c r="G4" s="22"/>
      <c r="H4" s="22"/>
    </row>
    <row r="5" spans="1:8" ht="22.05" customHeight="1" x14ac:dyDescent="0.3">
      <c r="A5" s="24" t="s">
        <v>3</v>
      </c>
      <c r="B5" s="22"/>
      <c r="C5" s="24" t="s">
        <v>4</v>
      </c>
      <c r="D5" s="22"/>
      <c r="E5" s="24" t="s">
        <v>5</v>
      </c>
      <c r="F5" s="22"/>
      <c r="G5" s="22"/>
      <c r="H5" s="22"/>
    </row>
    <row r="6" spans="1:8" ht="19.95" customHeight="1" x14ac:dyDescent="0.3">
      <c r="A6" s="27" t="s">
        <v>6</v>
      </c>
      <c r="B6" s="22"/>
      <c r="C6" s="21" t="s">
        <v>7</v>
      </c>
      <c r="D6" s="22"/>
      <c r="E6" s="28" t="s">
        <v>8</v>
      </c>
      <c r="F6" s="22"/>
      <c r="G6" s="22"/>
      <c r="H6" s="22"/>
    </row>
    <row r="7" spans="1:8" ht="19.95" customHeight="1" x14ac:dyDescent="0.3">
      <c r="A7" s="23" t="s">
        <v>9</v>
      </c>
      <c r="B7" s="22"/>
      <c r="C7" s="29" t="s">
        <v>10</v>
      </c>
      <c r="D7" s="22"/>
      <c r="E7" s="25" t="s">
        <v>11</v>
      </c>
      <c r="F7" s="22"/>
      <c r="G7" s="22"/>
      <c r="H7" s="22"/>
    </row>
    <row r="8" spans="1:8" ht="19.95" customHeight="1" x14ac:dyDescent="0.3">
      <c r="A8" s="27" t="s">
        <v>12</v>
      </c>
      <c r="B8" s="22"/>
      <c r="C8" s="21" t="s">
        <v>13</v>
      </c>
      <c r="D8" s="22"/>
      <c r="E8" s="28" t="s">
        <v>14</v>
      </c>
      <c r="F8" s="22"/>
      <c r="G8" s="22"/>
      <c r="H8" s="22"/>
    </row>
    <row r="9" spans="1:8" ht="19.95" customHeight="1" x14ac:dyDescent="0.3">
      <c r="A9" s="23" t="s">
        <v>15</v>
      </c>
      <c r="B9" s="22"/>
      <c r="C9" s="29" t="s">
        <v>16</v>
      </c>
      <c r="D9" s="22"/>
      <c r="E9" s="25" t="s">
        <v>17</v>
      </c>
      <c r="F9" s="22"/>
      <c r="G9" s="22"/>
      <c r="H9" s="22"/>
    </row>
    <row r="10" spans="1:8" ht="19.95" customHeight="1" x14ac:dyDescent="0.3">
      <c r="A10" s="27" t="s">
        <v>18</v>
      </c>
      <c r="B10" s="22"/>
      <c r="C10" s="21" t="s">
        <v>19</v>
      </c>
      <c r="D10" s="22"/>
      <c r="E10" s="28" t="s">
        <v>20</v>
      </c>
      <c r="F10" s="22"/>
      <c r="G10" s="22"/>
      <c r="H10" s="22"/>
    </row>
    <row r="11" spans="1:8" ht="19.95" customHeight="1" x14ac:dyDescent="0.3">
      <c r="A11" s="23" t="s">
        <v>21</v>
      </c>
      <c r="B11" s="22"/>
      <c r="C11" s="29" t="s">
        <v>22</v>
      </c>
      <c r="D11" s="22"/>
      <c r="E11" s="25" t="s">
        <v>23</v>
      </c>
      <c r="F11" s="22"/>
      <c r="G11" s="22"/>
      <c r="H11" s="22"/>
    </row>
    <row r="12" spans="1:8" ht="19.95" customHeight="1" x14ac:dyDescent="0.3">
      <c r="A12" s="27" t="s">
        <v>24</v>
      </c>
      <c r="B12" s="22"/>
      <c r="C12" s="21" t="s">
        <v>25</v>
      </c>
      <c r="D12" s="22"/>
      <c r="E12" s="28" t="s">
        <v>26</v>
      </c>
      <c r="F12" s="22"/>
      <c r="G12" s="22"/>
      <c r="H12" s="22"/>
    </row>
    <row r="13" spans="1:8" ht="19.95" customHeight="1" x14ac:dyDescent="0.3">
      <c r="A13" s="23" t="s">
        <v>27</v>
      </c>
      <c r="B13" s="22"/>
      <c r="C13" s="29" t="s">
        <v>28</v>
      </c>
      <c r="D13" s="22"/>
      <c r="E13" s="25" t="s">
        <v>29</v>
      </c>
      <c r="F13" s="22"/>
      <c r="G13" s="22"/>
      <c r="H13" s="22"/>
    </row>
    <row r="15" spans="1:8" ht="15" customHeight="1" x14ac:dyDescent="0.3"/>
    <row r="16" spans="1:8" ht="25.05" customHeight="1" x14ac:dyDescent="0.3"/>
    <row r="17" ht="34.950000000000003" customHeight="1" x14ac:dyDescent="0.3"/>
    <row r="18" ht="34.950000000000003" customHeight="1" x14ac:dyDescent="0.3"/>
    <row r="19" ht="34.950000000000003" customHeight="1" x14ac:dyDescent="0.3"/>
    <row r="20" ht="34.950000000000003" customHeight="1" x14ac:dyDescent="0.3"/>
    <row r="21" ht="34.950000000000003" customHeight="1" x14ac:dyDescent="0.3"/>
  </sheetData>
  <mergeCells count="30">
    <mergeCell ref="E13:H13"/>
    <mergeCell ref="A4:H4"/>
    <mergeCell ref="E9:H9"/>
    <mergeCell ref="C7:D7"/>
    <mergeCell ref="A10:B10"/>
    <mergeCell ref="E6:H6"/>
    <mergeCell ref="A13:B13"/>
    <mergeCell ref="C13:D13"/>
    <mergeCell ref="A9:B9"/>
    <mergeCell ref="E11:H11"/>
    <mergeCell ref="C10:D10"/>
    <mergeCell ref="A7:B7"/>
    <mergeCell ref="E12:H12"/>
    <mergeCell ref="C9:D9"/>
    <mergeCell ref="A12:B12"/>
    <mergeCell ref="C12:D12"/>
    <mergeCell ref="E8:H8"/>
    <mergeCell ref="C11:D11"/>
    <mergeCell ref="C6:D6"/>
    <mergeCell ref="A11:B11"/>
    <mergeCell ref="C5:D5"/>
    <mergeCell ref="E7:H7"/>
    <mergeCell ref="A1:H1"/>
    <mergeCell ref="A6:B6"/>
    <mergeCell ref="E5:H5"/>
    <mergeCell ref="A2:H2"/>
    <mergeCell ref="A5:B5"/>
    <mergeCell ref="A8:B8"/>
    <mergeCell ref="E10:H10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980B9"/>
  </sheetPr>
  <dimension ref="A1:F16"/>
  <sheetViews>
    <sheetView showGridLines="0" topLeftCell="R1" workbookViewId="0">
      <selection sqref="A1:F1"/>
    </sheetView>
  </sheetViews>
  <sheetFormatPr defaultRowHeight="14.4" x14ac:dyDescent="0.3"/>
  <cols>
    <col min="1" max="1" width="12" customWidth="1"/>
    <col min="2" max="2" width="14" customWidth="1"/>
    <col min="3" max="3" width="10" customWidth="1"/>
    <col min="4" max="4" width="18" customWidth="1"/>
    <col min="5" max="6" width="16" customWidth="1"/>
  </cols>
  <sheetData>
    <row r="1" spans="1:6" ht="34.950000000000003" customHeight="1" x14ac:dyDescent="0.3">
      <c r="A1" s="33" t="s">
        <v>30</v>
      </c>
      <c r="B1" s="22"/>
      <c r="C1" s="22"/>
      <c r="D1" s="22"/>
      <c r="E1" s="22"/>
      <c r="F1" s="22"/>
    </row>
    <row r="2" spans="1:6" ht="22.05" customHeight="1" x14ac:dyDescent="0.3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</row>
    <row r="3" spans="1:6" ht="18" customHeight="1" x14ac:dyDescent="0.3">
      <c r="A3" s="2" t="s">
        <v>37</v>
      </c>
      <c r="B3" s="3">
        <v>572713.89</v>
      </c>
      <c r="C3" s="4">
        <v>1400</v>
      </c>
      <c r="D3" s="4">
        <v>885</v>
      </c>
      <c r="E3" s="5" t="s">
        <v>38</v>
      </c>
      <c r="F3" s="3">
        <v>572713.89</v>
      </c>
    </row>
    <row r="4" spans="1:6" ht="18" customHeight="1" x14ac:dyDescent="0.3">
      <c r="A4" s="6" t="s">
        <v>39</v>
      </c>
      <c r="B4" s="7">
        <v>569445.04</v>
      </c>
      <c r="C4" s="8">
        <v>987</v>
      </c>
      <c r="D4" s="8">
        <v>741</v>
      </c>
      <c r="E4" s="9">
        <v>-0.6</v>
      </c>
      <c r="F4" s="7">
        <v>1142158.93</v>
      </c>
    </row>
    <row r="5" spans="1:6" ht="18" customHeight="1" x14ac:dyDescent="0.3">
      <c r="A5" s="2" t="s">
        <v>40</v>
      </c>
      <c r="B5" s="3">
        <v>447137.35</v>
      </c>
      <c r="C5" s="4">
        <v>997</v>
      </c>
      <c r="D5" s="4">
        <v>758</v>
      </c>
      <c r="E5" s="5">
        <v>-21.5</v>
      </c>
      <c r="F5" s="3">
        <v>1589296.28</v>
      </c>
    </row>
    <row r="6" spans="1:6" ht="18" customHeight="1" x14ac:dyDescent="0.3">
      <c r="A6" s="6" t="s">
        <v>41</v>
      </c>
      <c r="B6" s="7">
        <v>595500.76</v>
      </c>
      <c r="C6" s="8">
        <v>1321</v>
      </c>
      <c r="D6" s="8">
        <v>974</v>
      </c>
      <c r="E6" s="10">
        <v>33.200000000000003</v>
      </c>
      <c r="F6" s="7">
        <v>2184797.04</v>
      </c>
    </row>
    <row r="7" spans="1:6" ht="18" customHeight="1" x14ac:dyDescent="0.3">
      <c r="A7" s="2" t="s">
        <v>42</v>
      </c>
      <c r="B7" s="3">
        <v>469200.36099999998</v>
      </c>
      <c r="C7" s="4">
        <v>1149</v>
      </c>
      <c r="D7" s="4">
        <v>856</v>
      </c>
      <c r="E7" s="5">
        <v>-21.2</v>
      </c>
      <c r="F7" s="3">
        <v>2653997.4010000001</v>
      </c>
    </row>
    <row r="8" spans="1:6" ht="18" customHeight="1" x14ac:dyDescent="0.3">
      <c r="A8" s="6" t="s">
        <v>43</v>
      </c>
      <c r="B8" s="7">
        <v>678594.56000000006</v>
      </c>
      <c r="C8" s="8">
        <v>1555</v>
      </c>
      <c r="D8" s="8">
        <v>1056</v>
      </c>
      <c r="E8" s="10">
        <v>44.6</v>
      </c>
      <c r="F8" s="7">
        <v>3332591.9610000001</v>
      </c>
    </row>
    <row r="9" spans="1:6" ht="18" customHeight="1" x14ac:dyDescent="0.3">
      <c r="A9" s="2" t="s">
        <v>44</v>
      </c>
      <c r="B9" s="3">
        <v>661213.69000000006</v>
      </c>
      <c r="C9" s="4">
        <v>1393</v>
      </c>
      <c r="D9" s="4">
        <v>991</v>
      </c>
      <c r="E9" s="5">
        <v>-2.6</v>
      </c>
      <c r="F9" s="3">
        <v>3993805.6510000001</v>
      </c>
    </row>
    <row r="10" spans="1:6" ht="18" customHeight="1" x14ac:dyDescent="0.3">
      <c r="A10" s="6" t="s">
        <v>45</v>
      </c>
      <c r="B10" s="7">
        <v>600091.01100000006</v>
      </c>
      <c r="C10" s="8">
        <v>1331</v>
      </c>
      <c r="D10" s="8">
        <v>949</v>
      </c>
      <c r="E10" s="9">
        <v>-9.1999999999999993</v>
      </c>
      <c r="F10" s="7">
        <v>4593896.6619999995</v>
      </c>
    </row>
    <row r="11" spans="1:6" ht="18" customHeight="1" x14ac:dyDescent="0.3">
      <c r="A11" s="2" t="s">
        <v>46</v>
      </c>
      <c r="B11" s="3">
        <v>645343.9</v>
      </c>
      <c r="C11" s="4">
        <v>1280</v>
      </c>
      <c r="D11" s="4">
        <v>935</v>
      </c>
      <c r="E11" s="11">
        <v>7.5</v>
      </c>
      <c r="F11" s="3">
        <v>5239240.5620000008</v>
      </c>
    </row>
    <row r="12" spans="1:6" ht="18" customHeight="1" x14ac:dyDescent="0.3">
      <c r="A12" s="6" t="s">
        <v>47</v>
      </c>
      <c r="B12" s="7">
        <v>952838.38199999998</v>
      </c>
      <c r="C12" s="8">
        <v>1755</v>
      </c>
      <c r="D12" s="8">
        <v>1266</v>
      </c>
      <c r="E12" s="10">
        <v>47.6</v>
      </c>
      <c r="F12" s="7">
        <v>6192078.9440000011</v>
      </c>
    </row>
    <row r="13" spans="1:6" ht="18" customHeight="1" x14ac:dyDescent="0.3">
      <c r="A13" s="2" t="s">
        <v>48</v>
      </c>
      <c r="B13" s="3">
        <v>1039318.79</v>
      </c>
      <c r="C13" s="4">
        <v>1929</v>
      </c>
      <c r="D13" s="4">
        <v>1364</v>
      </c>
      <c r="E13" s="11">
        <v>9.1</v>
      </c>
      <c r="F13" s="3">
        <v>7231397.7340000011</v>
      </c>
    </row>
    <row r="14" spans="1:6" ht="18" customHeight="1" x14ac:dyDescent="0.3">
      <c r="A14" s="6" t="s">
        <v>49</v>
      </c>
      <c r="B14" s="7">
        <v>1161817.3799999999</v>
      </c>
      <c r="C14" s="8">
        <v>2657</v>
      </c>
      <c r="D14" s="8">
        <v>1664</v>
      </c>
      <c r="E14" s="10">
        <v>11.8</v>
      </c>
      <c r="F14" s="7">
        <v>8393215.1140000001</v>
      </c>
    </row>
    <row r="15" spans="1:6" ht="18" customHeight="1" x14ac:dyDescent="0.3">
      <c r="A15" s="2" t="s">
        <v>50</v>
      </c>
      <c r="B15" s="3">
        <v>518192.79</v>
      </c>
      <c r="C15" s="4">
        <v>778</v>
      </c>
      <c r="D15" s="4">
        <v>615</v>
      </c>
      <c r="E15" s="5">
        <v>-55.4</v>
      </c>
      <c r="F15" s="3">
        <v>8911407.9039999992</v>
      </c>
    </row>
    <row r="16" spans="1:6" ht="22.05" customHeight="1" x14ac:dyDescent="0.3">
      <c r="A16" s="32" t="s">
        <v>51</v>
      </c>
      <c r="B16" s="12">
        <f>SUM(B3:B15)</f>
        <v>8911407.9039999992</v>
      </c>
      <c r="C16" s="13">
        <f>SUM(C3:C15)</f>
        <v>18532</v>
      </c>
    </row>
  </sheetData>
  <mergeCells count="2">
    <mergeCell ref="A16"/>
    <mergeCell ref="A1:F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E12"/>
  <sheetViews>
    <sheetView showGridLines="0" topLeftCell="A5" workbookViewId="0">
      <selection sqref="A1:E1"/>
    </sheetView>
  </sheetViews>
  <sheetFormatPr defaultRowHeight="14.4" x14ac:dyDescent="0.3"/>
  <cols>
    <col min="1" max="1" width="6" customWidth="1"/>
    <col min="2" max="2" width="42" customWidth="1"/>
    <col min="3" max="3" width="14" customWidth="1"/>
    <col min="4" max="4" width="12" customWidth="1"/>
    <col min="5" max="5" width="18" customWidth="1"/>
  </cols>
  <sheetData>
    <row r="1" spans="1:5" ht="34.950000000000003" customHeight="1" x14ac:dyDescent="0.3">
      <c r="A1" s="33" t="s">
        <v>52</v>
      </c>
      <c r="B1" s="22"/>
      <c r="C1" s="22"/>
      <c r="D1" s="22"/>
      <c r="E1" s="22"/>
    </row>
    <row r="2" spans="1:5" ht="22.05" customHeight="1" x14ac:dyDescent="0.3">
      <c r="A2" s="1" t="s">
        <v>53</v>
      </c>
      <c r="B2" s="1" t="s">
        <v>54</v>
      </c>
      <c r="C2" s="1" t="s">
        <v>32</v>
      </c>
      <c r="D2" s="1" t="s">
        <v>55</v>
      </c>
      <c r="E2" s="1" t="s">
        <v>56</v>
      </c>
    </row>
    <row r="3" spans="1:5" ht="19.95" customHeight="1" x14ac:dyDescent="0.3">
      <c r="A3" s="14">
        <v>1</v>
      </c>
      <c r="B3" s="15" t="s">
        <v>57</v>
      </c>
      <c r="C3" s="3">
        <v>168469.6</v>
      </c>
      <c r="D3" s="4">
        <v>80995</v>
      </c>
      <c r="E3" s="3">
        <v>2.08</v>
      </c>
    </row>
    <row r="4" spans="1:5" ht="19.95" customHeight="1" x14ac:dyDescent="0.3">
      <c r="A4" s="16">
        <v>2</v>
      </c>
      <c r="B4" s="17" t="s">
        <v>58</v>
      </c>
      <c r="C4" s="7">
        <v>142592.95000000001</v>
      </c>
      <c r="D4" s="8">
        <v>12402</v>
      </c>
      <c r="E4" s="7">
        <v>12.483401044689501</v>
      </c>
    </row>
    <row r="5" spans="1:5" ht="19.95" customHeight="1" x14ac:dyDescent="0.3">
      <c r="A5" s="16">
        <v>3</v>
      </c>
      <c r="B5" s="15" t="s">
        <v>59</v>
      </c>
      <c r="C5" s="3">
        <v>100448.15</v>
      </c>
      <c r="D5" s="4">
        <v>36725</v>
      </c>
      <c r="E5" s="3">
        <v>2.8931065088757402</v>
      </c>
    </row>
    <row r="6" spans="1:5" ht="19.95" customHeight="1" x14ac:dyDescent="0.3">
      <c r="A6" s="18">
        <v>4</v>
      </c>
      <c r="B6" s="17" t="s">
        <v>60</v>
      </c>
      <c r="C6" s="7">
        <v>85220.78</v>
      </c>
      <c r="D6" s="8">
        <v>46181</v>
      </c>
      <c r="E6" s="7">
        <v>2.0158776266996292</v>
      </c>
    </row>
    <row r="7" spans="1:5" ht="19.95" customHeight="1" x14ac:dyDescent="0.3">
      <c r="A7" s="19">
        <v>5</v>
      </c>
      <c r="B7" s="15" t="s">
        <v>61</v>
      </c>
      <c r="C7" s="3">
        <v>81416.73000000001</v>
      </c>
      <c r="D7" s="4">
        <v>77916</v>
      </c>
      <c r="E7" s="3">
        <v>1.22030303030303</v>
      </c>
    </row>
    <row r="8" spans="1:5" ht="19.95" customHeight="1" x14ac:dyDescent="0.3">
      <c r="A8" s="18">
        <v>6</v>
      </c>
      <c r="B8" s="17" t="s">
        <v>62</v>
      </c>
      <c r="C8" s="7">
        <v>77803.960000000006</v>
      </c>
      <c r="D8" s="8">
        <v>3120</v>
      </c>
      <c r="E8" s="7">
        <v>31.5704822565969</v>
      </c>
    </row>
    <row r="9" spans="1:5" ht="19.95" customHeight="1" x14ac:dyDescent="0.3">
      <c r="A9" s="19">
        <v>7</v>
      </c>
      <c r="B9" s="15" t="s">
        <v>63</v>
      </c>
      <c r="C9" s="3">
        <v>68844.33</v>
      </c>
      <c r="D9" s="4">
        <v>15291</v>
      </c>
      <c r="E9" s="3">
        <v>4.8763753581661886</v>
      </c>
    </row>
    <row r="10" spans="1:5" ht="19.95" customHeight="1" x14ac:dyDescent="0.3">
      <c r="A10" s="18">
        <v>8</v>
      </c>
      <c r="B10" s="17" t="s">
        <v>64</v>
      </c>
      <c r="C10" s="7">
        <v>56580.34</v>
      </c>
      <c r="D10" s="8">
        <v>35362</v>
      </c>
      <c r="E10" s="7">
        <v>1.680795454545454</v>
      </c>
    </row>
    <row r="11" spans="1:5" ht="19.95" customHeight="1" x14ac:dyDescent="0.3">
      <c r="A11" s="19">
        <v>9</v>
      </c>
      <c r="B11" s="15" t="s">
        <v>65</v>
      </c>
      <c r="C11" s="3">
        <v>53779.93</v>
      </c>
      <c r="D11" s="4">
        <v>7173</v>
      </c>
      <c r="E11" s="3">
        <v>175.29158450704219</v>
      </c>
    </row>
    <row r="12" spans="1:5" ht="19.95" customHeight="1" x14ac:dyDescent="0.3">
      <c r="A12" s="18">
        <v>10</v>
      </c>
      <c r="B12" s="17" t="s">
        <v>66</v>
      </c>
      <c r="C12" s="7">
        <v>51346.2</v>
      </c>
      <c r="D12" s="8">
        <v>27202</v>
      </c>
      <c r="E12" s="7">
        <v>2.0139429928741088</v>
      </c>
    </row>
  </sheetData>
  <mergeCells count="1">
    <mergeCell ref="A1:E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39C12"/>
  </sheetPr>
  <dimension ref="A1:E22"/>
  <sheetViews>
    <sheetView showGridLines="0" topLeftCell="A29" workbookViewId="0">
      <selection sqref="A1:E1"/>
    </sheetView>
  </sheetViews>
  <sheetFormatPr defaultRowHeight="14.4" x14ac:dyDescent="0.3"/>
  <cols>
    <col min="1" max="1" width="22" customWidth="1"/>
    <col min="2" max="2" width="14" customWidth="1"/>
    <col min="3" max="3" width="12" customWidth="1"/>
    <col min="4" max="4" width="10" customWidth="1"/>
    <col min="5" max="5" width="18" customWidth="1"/>
  </cols>
  <sheetData>
    <row r="1" spans="1:5" ht="34.950000000000003" customHeight="1" x14ac:dyDescent="0.3">
      <c r="A1" s="33" t="s">
        <v>67</v>
      </c>
      <c r="B1" s="22"/>
      <c r="C1" s="22"/>
      <c r="D1" s="22"/>
      <c r="E1" s="22"/>
    </row>
    <row r="2" spans="1:5" ht="22.05" customHeight="1" x14ac:dyDescent="0.3">
      <c r="A2" s="1" t="s">
        <v>68</v>
      </c>
      <c r="B2" s="1" t="s">
        <v>32</v>
      </c>
      <c r="C2" s="1" t="s">
        <v>69</v>
      </c>
      <c r="D2" s="1" t="s">
        <v>33</v>
      </c>
      <c r="E2" s="1" t="s">
        <v>70</v>
      </c>
    </row>
    <row r="3" spans="1:5" ht="18" customHeight="1" x14ac:dyDescent="0.3">
      <c r="A3" s="20" t="s">
        <v>71</v>
      </c>
      <c r="B3" s="3">
        <v>7308391.5539999995</v>
      </c>
      <c r="C3" s="4">
        <v>3920</v>
      </c>
      <c r="D3" s="4">
        <v>16646</v>
      </c>
      <c r="E3" s="3">
        <v>439.04791265168808</v>
      </c>
    </row>
    <row r="4" spans="1:5" ht="18" customHeight="1" x14ac:dyDescent="0.3">
      <c r="A4" s="17" t="s">
        <v>72</v>
      </c>
      <c r="B4" s="7">
        <v>285446.34000000003</v>
      </c>
      <c r="C4" s="8">
        <v>9</v>
      </c>
      <c r="D4" s="8">
        <v>94</v>
      </c>
      <c r="E4" s="7">
        <v>3036.6631914893619</v>
      </c>
    </row>
    <row r="5" spans="1:5" ht="18" customHeight="1" x14ac:dyDescent="0.3">
      <c r="A5" s="15" t="s">
        <v>73</v>
      </c>
      <c r="B5" s="3">
        <v>265545.90000000002</v>
      </c>
      <c r="C5" s="4">
        <v>3</v>
      </c>
      <c r="D5" s="4">
        <v>260</v>
      </c>
      <c r="E5" s="3">
        <v>1021.330384615385</v>
      </c>
    </row>
    <row r="6" spans="1:5" ht="18" customHeight="1" x14ac:dyDescent="0.3">
      <c r="A6" s="17" t="s">
        <v>74</v>
      </c>
      <c r="B6" s="7">
        <v>228867.14</v>
      </c>
      <c r="C6" s="8">
        <v>94</v>
      </c>
      <c r="D6" s="8">
        <v>457</v>
      </c>
      <c r="E6" s="7">
        <v>500.8033698030635</v>
      </c>
    </row>
    <row r="7" spans="1:5" ht="18" customHeight="1" x14ac:dyDescent="0.3">
      <c r="A7" s="15" t="s">
        <v>75</v>
      </c>
      <c r="B7" s="3">
        <v>209024.05</v>
      </c>
      <c r="C7" s="4">
        <v>87</v>
      </c>
      <c r="D7" s="4">
        <v>389</v>
      </c>
      <c r="E7" s="3">
        <v>537.33688946015423</v>
      </c>
    </row>
    <row r="8" spans="1:5" ht="18" customHeight="1" x14ac:dyDescent="0.3">
      <c r="A8" s="17" t="s">
        <v>76</v>
      </c>
      <c r="B8" s="7">
        <v>138521.31</v>
      </c>
      <c r="C8" s="8">
        <v>9</v>
      </c>
      <c r="D8" s="8">
        <v>57</v>
      </c>
      <c r="E8" s="7">
        <v>2430.1984210526321</v>
      </c>
    </row>
    <row r="9" spans="1:5" ht="18" customHeight="1" x14ac:dyDescent="0.3">
      <c r="A9" s="15" t="s">
        <v>77</v>
      </c>
      <c r="B9" s="3">
        <v>61577.11</v>
      </c>
      <c r="C9" s="4">
        <v>30</v>
      </c>
      <c r="D9" s="4">
        <v>90</v>
      </c>
      <c r="E9" s="3">
        <v>684.19011111111115</v>
      </c>
    </row>
    <row r="10" spans="1:5" ht="18" customHeight="1" x14ac:dyDescent="0.3">
      <c r="A10" s="17" t="s">
        <v>78</v>
      </c>
      <c r="B10" s="7">
        <v>56443.95</v>
      </c>
      <c r="C10" s="8">
        <v>21</v>
      </c>
      <c r="D10" s="8">
        <v>51</v>
      </c>
      <c r="E10" s="7">
        <v>1106.7441176470591</v>
      </c>
    </row>
    <row r="11" spans="1:5" ht="18" customHeight="1" x14ac:dyDescent="0.3">
      <c r="A11" s="15" t="s">
        <v>79</v>
      </c>
      <c r="B11" s="3">
        <v>41196.339999999997</v>
      </c>
      <c r="C11" s="4">
        <v>25</v>
      </c>
      <c r="D11" s="4">
        <v>98</v>
      </c>
      <c r="E11" s="3">
        <v>420.37081632653059</v>
      </c>
    </row>
    <row r="12" spans="1:5" ht="18" customHeight="1" x14ac:dyDescent="0.3">
      <c r="A12" s="17" t="s">
        <v>80</v>
      </c>
      <c r="B12" s="7">
        <v>38378.33</v>
      </c>
      <c r="C12" s="8">
        <v>8</v>
      </c>
      <c r="D12" s="8">
        <v>36</v>
      </c>
      <c r="E12" s="7">
        <v>1066.0647222222219</v>
      </c>
    </row>
    <row r="13" spans="1:5" ht="18" customHeight="1" x14ac:dyDescent="0.3">
      <c r="A13" s="15" t="s">
        <v>81</v>
      </c>
      <c r="B13" s="3">
        <v>37416.370000000003</v>
      </c>
      <c r="C13" s="4">
        <v>8</v>
      </c>
      <c r="D13" s="4">
        <v>19</v>
      </c>
      <c r="E13" s="3">
        <v>1969.282631578948</v>
      </c>
    </row>
    <row r="14" spans="1:5" ht="18" customHeight="1" x14ac:dyDescent="0.3">
      <c r="A14" s="17" t="s">
        <v>82</v>
      </c>
      <c r="B14" s="7">
        <v>36165.440000000002</v>
      </c>
      <c r="C14" s="8">
        <v>10</v>
      </c>
      <c r="D14" s="8">
        <v>36</v>
      </c>
      <c r="E14" s="7">
        <v>1004.595555555556</v>
      </c>
    </row>
    <row r="15" spans="1:5" ht="18" customHeight="1" x14ac:dyDescent="0.3">
      <c r="A15" s="15" t="s">
        <v>83</v>
      </c>
      <c r="B15" s="3">
        <v>33439.89</v>
      </c>
      <c r="C15" s="4">
        <v>19</v>
      </c>
      <c r="D15" s="4">
        <v>57</v>
      </c>
      <c r="E15" s="3">
        <v>586.6647368421053</v>
      </c>
    </row>
    <row r="16" spans="1:5" ht="18" customHeight="1" x14ac:dyDescent="0.3">
      <c r="A16" s="17" t="s">
        <v>84</v>
      </c>
      <c r="B16" s="7">
        <v>22546.080000000002</v>
      </c>
      <c r="C16" s="8">
        <v>12</v>
      </c>
      <c r="D16" s="8">
        <v>41</v>
      </c>
      <c r="E16" s="7">
        <v>549.90439024390253</v>
      </c>
    </row>
    <row r="17" spans="1:5" ht="18" customHeight="1" x14ac:dyDescent="0.3">
      <c r="A17" s="15" t="s">
        <v>85</v>
      </c>
      <c r="B17" s="3">
        <v>21279.29</v>
      </c>
      <c r="C17" s="4">
        <v>1</v>
      </c>
      <c r="D17" s="4">
        <v>7</v>
      </c>
      <c r="E17" s="3">
        <v>3039.8985714285709</v>
      </c>
    </row>
    <row r="18" spans="1:5" ht="18" customHeight="1" x14ac:dyDescent="0.3">
      <c r="A18" s="17" t="s">
        <v>86</v>
      </c>
      <c r="B18" s="7">
        <v>20450.439999999999</v>
      </c>
      <c r="C18" s="8">
        <v>9</v>
      </c>
      <c r="D18" s="8">
        <v>26</v>
      </c>
      <c r="E18" s="7">
        <v>786.55538461538458</v>
      </c>
    </row>
    <row r="19" spans="1:5" ht="18" customHeight="1" x14ac:dyDescent="0.3">
      <c r="A19" s="15" t="s">
        <v>87</v>
      </c>
      <c r="B19" s="3">
        <v>18955.34</v>
      </c>
      <c r="C19" s="4">
        <v>9</v>
      </c>
      <c r="D19" s="4">
        <v>18</v>
      </c>
      <c r="E19" s="3">
        <v>1053.074444444444</v>
      </c>
    </row>
    <row r="20" spans="1:5" ht="18" customHeight="1" x14ac:dyDescent="0.3">
      <c r="A20" s="17" t="s">
        <v>88</v>
      </c>
      <c r="B20" s="7">
        <v>17483.240000000002</v>
      </c>
      <c r="C20" s="8">
        <v>14</v>
      </c>
      <c r="D20" s="8">
        <v>38</v>
      </c>
      <c r="E20" s="7">
        <v>460.08526315789481</v>
      </c>
    </row>
    <row r="21" spans="1:5" ht="18" customHeight="1" x14ac:dyDescent="0.3">
      <c r="A21" s="15" t="s">
        <v>89</v>
      </c>
      <c r="B21" s="3">
        <v>13590.38</v>
      </c>
      <c r="C21" s="4">
        <v>8</v>
      </c>
      <c r="D21" s="4">
        <v>16</v>
      </c>
      <c r="E21" s="3">
        <v>849.39874999999995</v>
      </c>
    </row>
    <row r="22" spans="1:5" ht="18" customHeight="1" x14ac:dyDescent="0.3">
      <c r="A22" s="17" t="s">
        <v>90</v>
      </c>
      <c r="B22" s="7">
        <v>10198.68</v>
      </c>
      <c r="C22" s="8">
        <v>11</v>
      </c>
      <c r="D22" s="8">
        <v>17</v>
      </c>
      <c r="E22" s="7">
        <v>599.92235294117654</v>
      </c>
    </row>
  </sheetData>
  <mergeCells count="1">
    <mergeCell ref="A1:E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74C3C"/>
  </sheetPr>
  <dimension ref="A1:N1"/>
  <sheetViews>
    <sheetView showGridLines="0" tabSelected="1" zoomScale="35" workbookViewId="0">
      <selection sqref="A1:N1"/>
    </sheetView>
  </sheetViews>
  <sheetFormatPr defaultRowHeight="14.4" x14ac:dyDescent="0.3"/>
  <sheetData>
    <row r="1" spans="1:14" ht="34.950000000000003" customHeight="1" x14ac:dyDescent="0.3">
      <c r="A1" s="33" t="s">
        <v>91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</sheetData>
  <mergeCells count="1">
    <mergeCell ref="A1:N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Monthly Revenue</vt:lpstr>
      <vt:lpstr>Top Products</vt:lpstr>
      <vt:lpstr>Country Analysis</vt:lpstr>
      <vt:lpstr>Visual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Sujal A M</cp:lastModifiedBy>
  <dcterms:created xsi:type="dcterms:W3CDTF">2026-06-02T04:10:07Z</dcterms:created>
  <dcterms:modified xsi:type="dcterms:W3CDTF">2026-06-02T04:21:31Z</dcterms:modified>
</cp:coreProperties>
</file>